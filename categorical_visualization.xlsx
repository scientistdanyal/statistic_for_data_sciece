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al/danyal/statistic/"/>
    </mc:Choice>
  </mc:AlternateContent>
  <xr:revisionPtr revIDLastSave="0" documentId="8_{C3CEE5D0-E553-AA44-8473-46319B44C9E9}" xr6:coauthVersionLast="47" xr6:coauthVersionMax="47" xr10:uidLastSave="{00000000-0000-0000-0000-000000000000}"/>
  <bookViews>
    <workbookView xWindow="-31280" yWindow="320" windowWidth="26340" windowHeight="15120" activeTab="3" xr2:uid="{F9355129-BF03-C54D-8C80-B9F66F787D81}"/>
  </bookViews>
  <sheets>
    <sheet name="Data" sheetId="1" r:id="rId1"/>
    <sheet name="Pie Chart" sheetId="2" r:id="rId2"/>
    <sheet name="Bar Chart" sheetId="3" r:id="rId3"/>
    <sheet name="Pareto Diagram" sheetId="4" r:id="rId4"/>
  </sheets>
  <definedNames>
    <definedName name="_xlnm._FilterDatabase" localSheetId="3" hidden="1">'Pareto Diagram'!$A$13:$C$16</definedName>
    <definedName name="_xlchart.v2.0" hidden="1">'Pareto Diagram'!$A$14:$A$16</definedName>
    <definedName name="_xlchart.v2.1" hidden="1">'Pareto Diagram'!$B$14:$B$16</definedName>
    <definedName name="_xlchart.v2.2" hidden="1">'Pareto Diagram'!$C$14:$C$16</definedName>
    <definedName name="_xlchart.v2.3" hidden="1">'Pareto Diagram'!$D$14:$D$16</definedName>
    <definedName name="_xlchart.v2.4" hidden="1">'Pareto Diagram'!$A$14</definedName>
    <definedName name="_xlchart.v2.5" hidden="1">'Pareto Diagram'!$A$15</definedName>
    <definedName name="_xlchart.v2.6" hidden="1">'Pareto Diagram'!$A$16</definedName>
    <definedName name="_xlchart.v2.7" hidden="1">'Pareto Diagram'!$B$14:$D$14</definedName>
    <definedName name="_xlchart.v2.8" hidden="1">'Pareto Diagram'!$B$15:$D$15</definedName>
    <definedName name="_xlchart.v2.9" hidden="1">'Pareto Diagram'!$B$16:$D$16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4" i="4"/>
  <c r="D14" i="4" s="1"/>
  <c r="D15" i="4" s="1"/>
  <c r="D16" i="4" s="1"/>
  <c r="C16" i="4"/>
  <c r="C6" i="4"/>
  <c r="C7" i="4"/>
  <c r="C5" i="4"/>
  <c r="B8" i="4"/>
  <c r="C8" i="4" s="1"/>
  <c r="B8" i="3"/>
  <c r="B8" i="2"/>
  <c r="B8" i="1"/>
</calcChain>
</file>

<file path=xl/sharedStrings.xml><?xml version="1.0" encoding="utf-8"?>
<sst xmlns="http://schemas.openxmlformats.org/spreadsheetml/2006/main" count="32" uniqueCount="9">
  <si>
    <t>Graphs and tables for categorical varibles</t>
  </si>
  <si>
    <t>Frequency</t>
  </si>
  <si>
    <t>Audi</t>
  </si>
  <si>
    <t>BMW</t>
  </si>
  <si>
    <t>Mercedes</t>
  </si>
  <si>
    <t>Total</t>
  </si>
  <si>
    <t>Ordered</t>
  </si>
  <si>
    <t>Relative Frequency</t>
  </si>
  <si>
    <t>Cummulative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</si>
</sst>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206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Fill="1" applyBorder="1"/>
    <xf numFmtId="0" fontId="4" fillId="0" borderId="0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/>
    <xf numFmtId="9" fontId="3" fillId="0" borderId="0" xfId="1" applyFont="1"/>
    <xf numFmtId="9" fontId="0" fillId="0" borderId="0" xfId="1" applyFont="1"/>
    <xf numFmtId="9" fontId="4" fillId="0" borderId="2" xfId="1" applyFont="1" applyBorder="1"/>
    <xf numFmtId="9" fontId="0" fillId="0" borderId="2" xfId="1" applyFont="1" applyBorder="1"/>
    <xf numFmtId="9" fontId="0" fillId="0" borderId="0" xfId="1" applyFont="1" applyBorder="1"/>
    <xf numFmtId="9" fontId="0" fillId="0" borderId="0" xfId="0" applyNumberFormat="1"/>
    <xf numFmtId="9" fontId="0" fillId="0" borderId="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Shares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49F-404C-A196-37888BF5F2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9F-404C-A196-37888BF5F2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9F-404C-A196-37888BF5F20B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wrap="square" lIns="38100" tIns="19050" rIns="38100" bIns="19050" anchor="t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924820703144595"/>
                      <c:h val="0.134116242804612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9F-404C-A196-37888BF5F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Chart'!$A$5:$A$7</c:f>
              <c:strCache>
                <c:ptCount val="3"/>
                <c:pt idx="0">
                  <c:v>Audi</c:v>
                </c:pt>
                <c:pt idx="1">
                  <c:v>BMW</c:v>
                </c:pt>
                <c:pt idx="2">
                  <c:v>Mercedes</c:v>
                </c:pt>
              </c:strCache>
            </c:strRef>
          </c:cat>
          <c:val>
            <c:numRef>
              <c:f>'Pie Chart'!$B$5:$B$7</c:f>
              <c:numCache>
                <c:formatCode>General</c:formatCode>
                <c:ptCount val="3"/>
                <c:pt idx="0">
                  <c:v>124</c:v>
                </c:pt>
                <c:pt idx="1">
                  <c:v>98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F-404C-A196-37888BF5F20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16911" dist="50800" dir="2340000" sx="15000" sy="15000" algn="ctr" rotWithShape="0">
        <a:srgbClr val="000000">
          <a:alpha val="62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2"/>
              </a:solidFill>
            </a:ln>
            <a:effectLst>
              <a:outerShdw blurRad="50800" dist="50800" dir="5400000" algn="ctr" rotWithShape="0">
                <a:schemeClr val="tx2"/>
              </a:outerShdw>
            </a:effectLst>
          </c:spPr>
          <c:invertIfNegative val="0"/>
          <c:cat>
            <c:strRef>
              <c:f>'Bar Chart'!$A$5:$A$7</c:f>
              <c:strCache>
                <c:ptCount val="3"/>
                <c:pt idx="0">
                  <c:v>Audi</c:v>
                </c:pt>
                <c:pt idx="1">
                  <c:v>BMW</c:v>
                </c:pt>
                <c:pt idx="2">
                  <c:v>Mercedes</c:v>
                </c:pt>
              </c:strCache>
            </c:strRef>
          </c:cat>
          <c:val>
            <c:numRef>
              <c:f>'Bar Chart'!$B$5:$B$7</c:f>
              <c:numCache>
                <c:formatCode>General</c:formatCode>
                <c:ptCount val="3"/>
                <c:pt idx="0">
                  <c:v>124</c:v>
                </c:pt>
                <c:pt idx="1">
                  <c:v>98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0-E54D-B7C2-B55C91AB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0"/>
        <c:axId val="153871999"/>
        <c:axId val="153874687"/>
      </c:barChart>
      <c:catAx>
        <c:axId val="1538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4687"/>
        <c:crosses val="autoZero"/>
        <c:auto val="1"/>
        <c:lblAlgn val="ctr"/>
        <c:lblOffset val="100"/>
        <c:noMultiLvlLbl val="0"/>
      </c:catAx>
      <c:valAx>
        <c:axId val="15387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Diagram'!$A$14:$A$16</c:f>
              <c:strCache>
                <c:ptCount val="3"/>
                <c:pt idx="0">
                  <c:v>Audi</c:v>
                </c:pt>
                <c:pt idx="1">
                  <c:v>Mercedes</c:v>
                </c:pt>
                <c:pt idx="2">
                  <c:v>BMW</c:v>
                </c:pt>
              </c:strCache>
            </c:strRef>
          </c:cat>
          <c:val>
            <c:numRef>
              <c:f>'Pareto Diagram'!$B$14:$B$16</c:f>
              <c:numCache>
                <c:formatCode>General</c:formatCode>
                <c:ptCount val="3"/>
                <c:pt idx="0">
                  <c:v>130</c:v>
                </c:pt>
                <c:pt idx="1">
                  <c:v>113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C-644A-A1EE-0EE2CE361A9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Diagram'!$A$14:$A$16</c:f>
              <c:strCache>
                <c:ptCount val="3"/>
                <c:pt idx="0">
                  <c:v>Audi</c:v>
                </c:pt>
                <c:pt idx="1">
                  <c:v>Mercedes</c:v>
                </c:pt>
                <c:pt idx="2">
                  <c:v>BMW</c:v>
                </c:pt>
              </c:strCache>
            </c:strRef>
          </c:cat>
          <c:val>
            <c:numRef>
              <c:f>'Pareto Diagram'!$C$14:$C$16</c:f>
              <c:numCache>
                <c:formatCode>0%</c:formatCode>
                <c:ptCount val="3"/>
                <c:pt idx="0">
                  <c:v>0.38805970149253732</c:v>
                </c:pt>
                <c:pt idx="1">
                  <c:v>0.33731343283582088</c:v>
                </c:pt>
                <c:pt idx="2">
                  <c:v>0.29253731343283584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C-644A-A1EE-0EE2CE361A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02271"/>
        <c:axId val="19900031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rgbClr val="FF0000"/>
              </a:solidFill>
              <a:prstDash val="dash"/>
              <a:round/>
              <a:headEnd type="none"/>
              <a:tailEnd type="triangl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'Pareto Diagram'!$A$14:$A$16</c:f>
              <c:strCache>
                <c:ptCount val="3"/>
                <c:pt idx="0">
                  <c:v>Audi</c:v>
                </c:pt>
                <c:pt idx="1">
                  <c:v>Mercedes</c:v>
                </c:pt>
                <c:pt idx="2">
                  <c:v>BMW</c:v>
                </c:pt>
              </c:strCache>
            </c:strRef>
          </c:cat>
          <c:val>
            <c:numRef>
              <c:f>'Pareto Diagram'!$D$14:$D$16</c:f>
              <c:numCache>
                <c:formatCode>0%</c:formatCode>
                <c:ptCount val="3"/>
                <c:pt idx="0">
                  <c:v>0.38805970149253732</c:v>
                </c:pt>
                <c:pt idx="1">
                  <c:v>0.72537313432835826</c:v>
                </c:pt>
                <c:pt idx="2">
                  <c:v>1.017910447761194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C-644A-A1EE-0EE2CE361A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96447"/>
        <c:axId val="19892415"/>
      </c:lineChart>
      <c:catAx>
        <c:axId val="1990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0031"/>
        <c:crosses val="autoZero"/>
        <c:auto val="1"/>
        <c:lblAlgn val="ctr"/>
        <c:lblOffset val="100"/>
        <c:noMultiLvlLbl val="0"/>
      </c:catAx>
      <c:valAx>
        <c:axId val="1990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2271"/>
        <c:crosses val="autoZero"/>
        <c:crossBetween val="between"/>
      </c:valAx>
      <c:valAx>
        <c:axId val="198924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6447"/>
        <c:crosses val="max"/>
        <c:crossBetween val="between"/>
      </c:valAx>
      <c:catAx>
        <c:axId val="19896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924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4</xdr:row>
      <xdr:rowOff>57150</xdr:rowOff>
    </xdr:from>
    <xdr:to>
      <xdr:col>7</xdr:col>
      <xdr:colOff>393700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D879A3-0D08-6A9E-E391-0DC90B294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5</xdr:row>
      <xdr:rowOff>139700</xdr:rowOff>
    </xdr:from>
    <xdr:to>
      <xdr:col>5</xdr:col>
      <xdr:colOff>787400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03625A-6166-D981-56F4-4EA938C4D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25400</xdr:rowOff>
    </xdr:from>
    <xdr:to>
      <xdr:col>9</xdr:col>
      <xdr:colOff>361950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C99B4-58E7-B434-7DB3-D8F9328EB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BF80-DFE7-7D48-8050-426E870B4C6E}">
  <dimension ref="A1:E8"/>
  <sheetViews>
    <sheetView showGridLines="0" workbookViewId="0">
      <selection sqref="A1:XFD1048576"/>
    </sheetView>
  </sheetViews>
  <sheetFormatPr baseColWidth="10" defaultRowHeight="16" x14ac:dyDescent="0.2"/>
  <cols>
    <col min="2" max="2" width="10.83203125" customWidth="1"/>
  </cols>
  <sheetData>
    <row r="1" spans="1:5" ht="32" x14ac:dyDescent="0.4">
      <c r="A1" s="1" t="s">
        <v>0</v>
      </c>
      <c r="B1" s="1"/>
      <c r="C1" s="2"/>
      <c r="D1" s="2"/>
      <c r="E1" s="2"/>
    </row>
    <row r="4" spans="1:5" ht="17" thickBot="1" x14ac:dyDescent="0.25">
      <c r="A4" s="9" t="s">
        <v>1</v>
      </c>
      <c r="B4" s="9"/>
    </row>
    <row r="5" spans="1:5" x14ac:dyDescent="0.2">
      <c r="A5" s="3" t="s">
        <v>2</v>
      </c>
      <c r="B5" s="6">
        <v>124</v>
      </c>
    </row>
    <row r="6" spans="1:5" x14ac:dyDescent="0.2">
      <c r="A6" s="4" t="s">
        <v>3</v>
      </c>
      <c r="B6" s="4">
        <v>98</v>
      </c>
    </row>
    <row r="7" spans="1:5" ht="17" thickBot="1" x14ac:dyDescent="0.25">
      <c r="A7" s="8" t="s">
        <v>4</v>
      </c>
      <c r="B7" s="8">
        <v>113</v>
      </c>
    </row>
    <row r="8" spans="1:5" x14ac:dyDescent="0.2">
      <c r="A8" s="5" t="s">
        <v>5</v>
      </c>
      <c r="B8" s="7">
        <f>SUM(B5:B7)</f>
        <v>335</v>
      </c>
    </row>
  </sheetData>
  <mergeCells count="1"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2B5D-1CE1-A848-BE24-D7A9D58D270C}">
  <dimension ref="A1:E8"/>
  <sheetViews>
    <sheetView showGridLines="0" topLeftCell="A2" workbookViewId="0">
      <selection activeCell="E24" sqref="E24"/>
    </sheetView>
  </sheetViews>
  <sheetFormatPr baseColWidth="10" defaultRowHeight="16" x14ac:dyDescent="0.2"/>
  <cols>
    <col min="1" max="1" width="20.5" customWidth="1"/>
  </cols>
  <sheetData>
    <row r="1" spans="1:5" ht="32" x14ac:dyDescent="0.4">
      <c r="A1" s="1" t="s">
        <v>0</v>
      </c>
      <c r="B1" s="1"/>
      <c r="C1" s="2"/>
      <c r="D1" s="2"/>
      <c r="E1" s="2"/>
    </row>
    <row r="4" spans="1:5" ht="17" thickBot="1" x14ac:dyDescent="0.25">
      <c r="A4" s="9" t="s">
        <v>1</v>
      </c>
      <c r="B4" s="9"/>
    </row>
    <row r="5" spans="1:5" x14ac:dyDescent="0.2">
      <c r="A5" s="3" t="s">
        <v>2</v>
      </c>
      <c r="B5" s="6">
        <v>124</v>
      </c>
    </row>
    <row r="6" spans="1:5" x14ac:dyDescent="0.2">
      <c r="A6" s="4" t="s">
        <v>3</v>
      </c>
      <c r="B6" s="4">
        <v>98</v>
      </c>
    </row>
    <row r="7" spans="1:5" ht="17" thickBot="1" x14ac:dyDescent="0.25">
      <c r="A7" s="8" t="s">
        <v>4</v>
      </c>
      <c r="B7" s="8">
        <v>113</v>
      </c>
    </row>
    <row r="8" spans="1:5" x14ac:dyDescent="0.2">
      <c r="A8" s="5" t="s">
        <v>5</v>
      </c>
      <c r="B8" s="7">
        <f>SUM(B5:B7)</f>
        <v>335</v>
      </c>
    </row>
  </sheetData>
  <mergeCells count="1">
    <mergeCell ref="A4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E295-7C8B-4B45-B095-9456FD35617D}">
  <dimension ref="A1:E8"/>
  <sheetViews>
    <sheetView showGridLines="0" workbookViewId="0">
      <selection activeCell="H2" sqref="H2"/>
    </sheetView>
  </sheetViews>
  <sheetFormatPr baseColWidth="10" defaultColWidth="17.33203125" defaultRowHeight="16" x14ac:dyDescent="0.2"/>
  <sheetData>
    <row r="1" spans="1:5" ht="32" x14ac:dyDescent="0.4">
      <c r="A1" s="1" t="s">
        <v>0</v>
      </c>
      <c r="B1" s="1"/>
      <c r="C1" s="2"/>
      <c r="D1" s="2"/>
      <c r="E1" s="2"/>
    </row>
    <row r="4" spans="1:5" ht="17" thickBot="1" x14ac:dyDescent="0.25">
      <c r="A4" s="9" t="s">
        <v>1</v>
      </c>
      <c r="B4" s="9"/>
    </row>
    <row r="5" spans="1:5" x14ac:dyDescent="0.2">
      <c r="A5" s="3" t="s">
        <v>2</v>
      </c>
      <c r="B5" s="6">
        <v>124</v>
      </c>
    </row>
    <row r="6" spans="1:5" x14ac:dyDescent="0.2">
      <c r="A6" s="4" t="s">
        <v>3</v>
      </c>
      <c r="B6" s="4">
        <v>98</v>
      </c>
    </row>
    <row r="7" spans="1:5" ht="17" thickBot="1" x14ac:dyDescent="0.25">
      <c r="A7" s="8" t="s">
        <v>4</v>
      </c>
      <c r="B7" s="8">
        <v>113</v>
      </c>
    </row>
    <row r="8" spans="1:5" x14ac:dyDescent="0.2">
      <c r="A8" s="5" t="s">
        <v>5</v>
      </c>
      <c r="B8" s="7">
        <f>SUM(B5:B7)</f>
        <v>335</v>
      </c>
    </row>
  </sheetData>
  <mergeCells count="1">
    <mergeCell ref="A4:B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1677-8AD4-A844-9431-49F42AA7EEAF}">
  <dimension ref="A1:E16"/>
  <sheetViews>
    <sheetView tabSelected="1" workbookViewId="0">
      <selection activeCell="B15" sqref="B15"/>
    </sheetView>
  </sheetViews>
  <sheetFormatPr baseColWidth="10" defaultColWidth="14.5" defaultRowHeight="16" x14ac:dyDescent="0.2"/>
  <cols>
    <col min="3" max="3" width="18.5" style="12" customWidth="1"/>
  </cols>
  <sheetData>
    <row r="1" spans="1:5" ht="32" x14ac:dyDescent="0.4">
      <c r="A1" s="1" t="s">
        <v>0</v>
      </c>
      <c r="B1" s="1"/>
      <c r="C1" s="11"/>
      <c r="D1" s="2"/>
      <c r="E1" s="2"/>
    </row>
    <row r="4" spans="1:5" ht="17" thickBot="1" x14ac:dyDescent="0.25">
      <c r="A4" s="9" t="s">
        <v>1</v>
      </c>
      <c r="B4" s="9"/>
      <c r="C4" s="13" t="s">
        <v>7</v>
      </c>
    </row>
    <row r="5" spans="1:5" x14ac:dyDescent="0.2">
      <c r="A5" s="3" t="s">
        <v>2</v>
      </c>
      <c r="B5" s="6">
        <v>124</v>
      </c>
      <c r="C5" s="12">
        <f>B5/SUM($B$5:$B$7)</f>
        <v>0.37014925373134328</v>
      </c>
    </row>
    <row r="6" spans="1:5" x14ac:dyDescent="0.2">
      <c r="A6" s="4" t="s">
        <v>3</v>
      </c>
      <c r="B6" s="4">
        <v>98</v>
      </c>
      <c r="C6" s="12">
        <f t="shared" ref="C6:C8" si="0">B6/SUM($B$5:$B$7)</f>
        <v>0.29253731343283584</v>
      </c>
    </row>
    <row r="7" spans="1:5" ht="17" thickBot="1" x14ac:dyDescent="0.25">
      <c r="A7" s="8" t="s">
        <v>4</v>
      </c>
      <c r="B7" s="8">
        <v>113</v>
      </c>
      <c r="C7" s="14">
        <f t="shared" si="0"/>
        <v>0.33731343283582088</v>
      </c>
    </row>
    <row r="8" spans="1:5" x14ac:dyDescent="0.2">
      <c r="A8" s="5" t="s">
        <v>5</v>
      </c>
      <c r="B8" s="6">
        <f>SUM(B5:B7)</f>
        <v>335</v>
      </c>
      <c r="C8" s="12">
        <f t="shared" si="0"/>
        <v>1</v>
      </c>
    </row>
    <row r="13" spans="1:5" ht="17" thickBot="1" x14ac:dyDescent="0.25">
      <c r="A13" s="8" t="s">
        <v>6</v>
      </c>
      <c r="B13" s="10" t="s">
        <v>1</v>
      </c>
      <c r="C13" s="13" t="s">
        <v>7</v>
      </c>
      <c r="D13" s="8" t="s">
        <v>8</v>
      </c>
    </row>
    <row r="14" spans="1:5" x14ac:dyDescent="0.2">
      <c r="A14" s="4" t="s">
        <v>2</v>
      </c>
      <c r="B14" s="4">
        <v>130</v>
      </c>
      <c r="C14" s="12">
        <f>B14/SUM($B$5:$B$7)</f>
        <v>0.38805970149253732</v>
      </c>
      <c r="D14" s="16">
        <f>C14</f>
        <v>0.38805970149253732</v>
      </c>
    </row>
    <row r="15" spans="1:5" x14ac:dyDescent="0.2">
      <c r="A15" s="6" t="s">
        <v>4</v>
      </c>
      <c r="B15" s="6">
        <v>113</v>
      </c>
      <c r="C15" s="15">
        <f>B15/SUM($B$5:$B$7)</f>
        <v>0.33731343283582088</v>
      </c>
      <c r="D15" s="16">
        <f>D14+C15</f>
        <v>0.72537313432835826</v>
      </c>
    </row>
    <row r="16" spans="1:5" x14ac:dyDescent="0.2">
      <c r="A16" s="6" t="s">
        <v>3</v>
      </c>
      <c r="B16" s="6">
        <v>98</v>
      </c>
      <c r="C16" s="15">
        <f>B16/SUM($B$5:$B$7)</f>
        <v>0.29253731343283584</v>
      </c>
      <c r="D16" s="17">
        <f>D15+C16</f>
        <v>1.017910447761194</v>
      </c>
    </row>
  </sheetData>
  <autoFilter ref="A13:C16" xr:uid="{0C691677-8AD4-A844-9431-49F42AA7EEAF}">
    <sortState xmlns:xlrd2="http://schemas.microsoft.com/office/spreadsheetml/2017/richdata2" ref="A14:C17">
      <sortCondition ref="B13:B17"/>
    </sortState>
  </autoFilter>
  <mergeCells count="1"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Pie Chart</vt:lpstr>
      <vt:lpstr>Bar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danyal ahmed</dc:creator>
  <cp:lastModifiedBy>danyal ahmed</cp:lastModifiedBy>
  <dcterms:created xsi:type="dcterms:W3CDTF">2026-08-20T15:52:50Z</dcterms:created>
  <dcterms:modified xsi:type="dcterms:W3CDTF">2026-08-20T16:46:04Z</dcterms:modified>
</cp:coreProperties>
</file>